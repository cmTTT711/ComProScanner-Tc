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e26e4aa15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 Facts" sheetId="1" r:id="R7d5c280bdbab433f"/>
    <x:sheet xmlns:r="http://schemas.openxmlformats.org/officeDocument/2006/relationships" name="Strict Metrics" sheetId="2" r:id="R4798b57f3d8b4235"/>
    <x:sheet xmlns:r="http://schemas.openxmlformats.org/officeDocument/2006/relationships" name="Prediction Audit" sheetId="3" r:id="R2c4d7922d03e4b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5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2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6F1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B4C6E7"/>
      </x:right>
      <x:bottom style="thin">
        <x:color rgb="FFB4C6E7"/>
      </x:bottom>
    </x:border>
    <x:border>
      <x:left style="thin">
        <x:color rgb="FFB4C6E7"/>
      </x:left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</x:border>
    <x:border>
      <x:left style="thin">
        <x:color rgb="FFB4C6E7"/>
      </x:left>
      <x:top style="thin">
        <x:color rgb="FFB4C6E7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/>
    </x:xf>
    <x:xf numFmtId="0" fontId="1" fillId="0" borderId="3" xfId="0" applyNumberFormat="1" applyFont="1" applyFill="1" applyBorder="1" applyAlignment="1">
      <x:alignment vertical="top"/>
    </x:xf>
    <x:xf numFmtId="0" fontId="1" fillId="0" borderId="4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</x:xf>
    <x:xf numFmtId="0" fontId="1" fillId="0" borderId="8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9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1" fillId="2" borderId="2" xfId="0" applyNumberFormat="1" applyFont="1" applyFill="1" applyBorder="1" applyAlignment="1">
      <x:alignment vertical="top"/>
    </x:xf>
    <x:xf numFmtId="0" fontId="1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4" fillId="3" borderId="12" xfId="0" applyNumberFormat="1" applyFont="1" applyFill="1" applyBorder="1"/>
    <x:xf numFmtId="0" fontId="0" fillId="0" borderId="13" xfId="0" applyNumberFormat="1" applyFont="1" applyFill="1" applyBorder="1"/>
    <x:xf numFmtId="0" fontId="4" fillId="3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3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4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0" fontId="4" fillId="3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ce11645acb4768" /><Relationship Type="http://schemas.openxmlformats.org/officeDocument/2006/relationships/theme" Target="/xl/theme/theme1.xml" Id="R55f9a55af96b4d1c" /><Relationship Type="http://schemas.microsoft.com/office/2022/11/relationships/FeaturePropertyBag" Target="/xl/featurePropertyBag/featurePropertyBag.xml" Id="R88c2e08adf4641c8" /><Relationship Type="http://schemas.openxmlformats.org/officeDocument/2006/relationships/sharedStrings" Target="/xl/sharedStrings.xml" Id="R3c67113208054606" /><Relationship Type="http://schemas.openxmlformats.org/officeDocument/2006/relationships/worksheet" Target="/xl/worksheets/sheet1.xml" Id="R7d5c280bdbab433f" /><Relationship Type="http://schemas.openxmlformats.org/officeDocument/2006/relationships/worksheet" Target="/xl/worksheets/sheet2.xml" Id="R4798b57f3d8b4235" /><Relationship Type="http://schemas.openxmlformats.org/officeDocument/2006/relationships/worksheet" Target="/xl/worksheets/sheet3.xml" Id="R2c4d7922d03e4b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7" max="7" width="18" hidden="0" customWidth="1"/>
    <x:col min="8" max="8" width="26" hidden="0" customWidth="1"/>
    <x:col min="9" max="9" width="34" hidden="0" customWidth="1"/>
    <x:col min="10" max="10" width="18" hidden="0" customWidth="1"/>
    <x:col min="11" max="11" width="28" hidden="0" customWidth="1"/>
    <x:col min="12" max="12" width="70" hidden="0" customWidth="1"/>
  </x:cols>
  <x:sheetData>
    <x:row r="1" ht="36" customHeight="1">
      <x:c r="A1" s="23" t="str">
        <x:v>paper_id</x:v>
      </x:c>
      <x:c r="B1" s="24" t="str">
        <x:v>material</x:v>
      </x:c>
      <x:c r="C1" s="24" t="str">
        <x:v>tc_value</x:v>
      </x:c>
      <x:c r="D1" s="24" t="str">
        <x:v>tc_unit</x:v>
      </x:c>
      <x:c r="E1" s="24" t="str">
        <x:v>comparison_operator</x:v>
      </x:c>
      <x:c r="F1" s="24" t="str">
        <x:v>page</x:v>
      </x:c>
      <x:c r="G1" s="24" t="str">
        <x:v>fact_role</x:v>
      </x:c>
      <x:c r="H1" s="24" t="str">
        <x:v>transition_type</x:v>
      </x:c>
      <x:c r="I1" s="24" t="str">
        <x:v>qualifier</x:v>
      </x:c>
      <x:c r="J1" s="24" t="str">
        <x:v>strict_scoring</x:v>
      </x:c>
      <x:c r="K1" s="24" t="str">
        <x:v>gold_status</x:v>
      </x:c>
      <x:c r="L1" s="25" t="str">
        <x:v>evidence</x:v>
      </x:c>
    </x:row>
    <x:row r="2" ht="42" customHeight="1">
      <x:c r="A2" s="9" t="n">
        <x:v>1</x:v>
      </x:c>
      <x:c r="B2" s="10" t="str">
        <x:v>BiFeO3</x:v>
      </x:c>
      <x:c r="C2" s="10" t="n">
        <x:v>1103</x:v>
      </x:c>
      <x:c r="D2" s="10" t="str">
        <x:v>K</x:v>
      </x:c>
      <x:c r="E2" s="10" t="str"/>
      <x:c r="F2" s="10" t="n">
        <x:v>1</x:v>
      </x:c>
      <x:c r="G2" s="10" t="str">
        <x:v>background</x:v>
      </x:c>
      <x:c r="H2" s="10" t="str"/>
      <x:c r="I2" s="10" t="str"/>
      <x:c r="J2" s="11" t="b">
        <x:v>1</x:v>
      </x:c>
      <x:c r="K2" s="10" t="str">
        <x:v>ACCEPTED</x:v>
      </x:c>
      <x:c r="L2" s="12" t="str"/>
    </x:row>
    <x:row r="3" ht="42" customHeight="1">
      <x:c r="A3" s="9" t="n">
        <x:v>3</x:v>
      </x:c>
      <x:c r="B3" s="10" t="str">
        <x:v>0.8BaTiO3–0.2Ni0.5Co0.5Fe2O4 (24 h ball-milled sample)</x:v>
      </x:c>
      <x:c r="C3" s="10" t="n">
        <x:v>129</x:v>
      </x:c>
      <x:c r="D3" s="10" t="str">
        <x:v>°C</x:v>
      </x:c>
      <x:c r="E3" s="10" t="str"/>
      <x:c r="F3" s="10" t="n">
        <x:v>3</x:v>
      </x:c>
      <x:c r="G3" s="10" t="str">
        <x:v>current_work</x:v>
      </x:c>
      <x:c r="H3" s="10" t="str"/>
      <x:c r="I3" s="10" t="str"/>
      <x:c r="J3" s="11" t="b">
        <x:v>1</x:v>
      </x:c>
      <x:c r="K3" s="10" t="str">
        <x:v>ACCEPTED</x:v>
      </x:c>
      <x:c r="L3" s="12" t="str"/>
    </x:row>
    <x:row r="4" ht="42" customHeight="1">
      <x:c r="A4" s="9" t="n">
        <x:v>4</x:v>
      </x:c>
      <x:c r="B4" s="10" t="str">
        <x:v>0.66BaTiO3–0.33CoFe2O4 (randomly mixed)</x:v>
      </x:c>
      <x:c r="C4" s="10" t="n">
        <x:v>720</x:v>
      </x:c>
      <x:c r="D4" s="10" t="str">
        <x:v>K</x:v>
      </x:c>
      <x:c r="E4" s="10" t="str"/>
      <x:c r="F4" s="10" t="n">
        <x:v>1</x:v>
      </x:c>
      <x:c r="G4" s="10" t="str">
        <x:v>current_work</x:v>
      </x:c>
      <x:c r="H4" s="10" t="str"/>
      <x:c r="I4" s="10" t="str"/>
      <x:c r="J4" s="11" t="b">
        <x:v>1</x:v>
      </x:c>
      <x:c r="K4" s="10" t="str">
        <x:v>ACCEPTED</x:v>
      </x:c>
      <x:c r="L4" s="12" t="str"/>
    </x:row>
    <x:row r="5" ht="42" customHeight="1">
      <x:c r="A5" s="9" t="n">
        <x:v>4</x:v>
      </x:c>
      <x:c r="B5" s="10" t="str">
        <x:v>0.66BaTiO3–0.33CoFe2O4 (tri-layered)</x:v>
      </x:c>
      <x:c r="C5" s="10" t="n">
        <x:v>746</x:v>
      </x:c>
      <x:c r="D5" s="10" t="str">
        <x:v>K</x:v>
      </x:c>
      <x:c r="E5" s="10" t="str"/>
      <x:c r="F5" s="10" t="n">
        <x:v>1</x:v>
      </x:c>
      <x:c r="G5" s="10" t="str">
        <x:v>current_work</x:v>
      </x:c>
      <x:c r="H5" s="10" t="str"/>
      <x:c r="I5" s="10" t="str"/>
      <x:c r="J5" s="11" t="b">
        <x:v>1</x:v>
      </x:c>
      <x:c r="K5" s="10" t="str">
        <x:v>ACCEPTED</x:v>
      </x:c>
      <x:c r="L5" s="12" t="str"/>
    </x:row>
    <x:row r="6" ht="42" customHeight="1">
      <x:c r="A6" s="9" t="n">
        <x:v>4</x:v>
      </x:c>
      <x:c r="B6" s="10" t="str">
        <x:v>CoFe2O4</x:v>
      </x:c>
      <x:c r="C6" s="10" t="n">
        <x:v>793</x:v>
      </x:c>
      <x:c r="D6" s="10" t="str">
        <x:v>K</x:v>
      </x:c>
      <x:c r="E6" s="10" t="str"/>
      <x:c r="F6" s="10" t="n">
        <x:v>2</x:v>
      </x:c>
      <x:c r="G6" s="10" t="str">
        <x:v>background</x:v>
      </x:c>
      <x:c r="H6" s="10" t="str"/>
      <x:c r="I6" s="10" t="str"/>
      <x:c r="J6" s="11" t="b">
        <x:v>1</x:v>
      </x:c>
      <x:c r="K6" s="10" t="str">
        <x:v>ACCEPTED</x:v>
      </x:c>
      <x:c r="L6" s="12" t="str"/>
    </x:row>
    <x:row r="7" ht="42" customHeight="1">
      <x:c r="A7" s="9" t="n">
        <x:v>7</x:v>
      </x:c>
      <x:c r="B7" s="10" t="str">
        <x:v>BaTiO3</x:v>
      </x:c>
      <x:c r="C7" s="10" t="n">
        <x:v>120</x:v>
      </x:c>
      <x:c r="D7" s="10" t="str">
        <x:v>°C</x:v>
      </x:c>
      <x:c r="E7" s="10" t="str"/>
      <x:c r="F7" s="10" t="n">
        <x:v>3</x:v>
      </x:c>
      <x:c r="G7" s="10" t="str">
        <x:v>background</x:v>
      </x:c>
      <x:c r="H7" s="10" t="str"/>
      <x:c r="I7" s="10" t="str"/>
      <x:c r="J7" s="11" t="b">
        <x:v>1</x:v>
      </x:c>
      <x:c r="K7" s="10" t="str">
        <x:v>ACCEPTED</x:v>
      </x:c>
      <x:c r="L7" s="12" t="str"/>
    </x:row>
    <x:row r="8" ht="42" customHeight="1">
      <x:c r="A8" s="9" t="n">
        <x:v>10</x:v>
      </x:c>
      <x:c r="B8" s="10" t="str">
        <x:v>0.7BiFeO3-0.3(Ba0.85Ca0.15)TiO3</x:v>
      </x:c>
      <x:c r="C8" s="10" t="n">
        <x:v>683</x:v>
      </x:c>
      <x:c r="D8" s="10" t="str">
        <x:v>K</x:v>
      </x:c>
      <x:c r="E8" s="10" t="str"/>
      <x:c r="F8" s="10" t="str"/>
      <x:c r="G8" s="10" t="str">
        <x:v>current_work</x:v>
      </x:c>
      <x:c r="H8" s="10" t="str"/>
      <x:c r="I8" s="10" t="str"/>
      <x:c r="J8" s="11" t="b">
        <x:v>1</x:v>
      </x:c>
      <x:c r="K8" s="10" t="str">
        <x:v>ACCEPTED</x:v>
      </x:c>
      <x:c r="L8" s="12" t="str"/>
    </x:row>
    <x:row r="9" ht="42" customHeight="1">
      <x:c r="A9" s="9" t="n">
        <x:v>10</x:v>
      </x:c>
      <x:c r="B9" s="10" t="str">
        <x:v>0.7BiFeO3-0.3(Ba0.85Ca0.15)TiO3 with CuO and MnO2 additives</x:v>
      </x:c>
      <x:c r="C9" s="10" t="n">
        <x:v>687</x:v>
      </x:c>
      <x:c r="D9" s="10" t="str">
        <x:v>K</x:v>
      </x:c>
      <x:c r="E9" s="10" t="str"/>
      <x:c r="F9" s="10" t="str"/>
      <x:c r="G9" s="10" t="str">
        <x:v>current_work</x:v>
      </x:c>
      <x:c r="H9" s="10" t="str"/>
      <x:c r="I9" s="10" t="str"/>
      <x:c r="J9" s="11" t="b">
        <x:v>1</x:v>
      </x:c>
      <x:c r="K9" s="10" t="str">
        <x:v>ACCEPTED</x:v>
      </x:c>
      <x:c r="L9" s="12" t="str"/>
    </x:row>
    <x:row r="10" ht="42" customHeight="1">
      <x:c r="A10" s="9" t="n">
        <x:v>10</x:v>
      </x:c>
      <x:c r="B10" s="10" t="str">
        <x:v>0.7BiFeO3-0.3(Ba0.85Ca0.15)TiO3 with MnO2 additive</x:v>
      </x:c>
      <x:c r="C10" s="10" t="n">
        <x:v>690</x:v>
      </x:c>
      <x:c r="D10" s="10" t="str">
        <x:v>K</x:v>
      </x:c>
      <x:c r="E10" s="10" t="str"/>
      <x:c r="F10" s="10" t="str"/>
      <x:c r="G10" s="10" t="str">
        <x:v>current_work</x:v>
      </x:c>
      <x:c r="H10" s="10" t="str"/>
      <x:c r="I10" s="10" t="str"/>
      <x:c r="J10" s="11" t="b">
        <x:v>1</x:v>
      </x:c>
      <x:c r="K10" s="10" t="str">
        <x:v>ACCEPTED</x:v>
      </x:c>
      <x:c r="L10" s="12" t="str"/>
    </x:row>
    <x:row r="11" ht="42" customHeight="1">
      <x:c r="A11" s="9" t="n">
        <x:v>10</x:v>
      </x:c>
      <x:c r="B11" s="10" t="str">
        <x:v>0.7BiFeO3-0.3(Ba0.85Ca0.15)TiO3 with CuO additive</x:v>
      </x:c>
      <x:c r="C11" s="10" t="n">
        <x:v>692</x:v>
      </x:c>
      <x:c r="D11" s="10" t="str">
        <x:v>K</x:v>
      </x:c>
      <x:c r="E11" s="10" t="str"/>
      <x:c r="F11" s="10" t="str"/>
      <x:c r="G11" s="10" t="str">
        <x:v>current_work</x:v>
      </x:c>
      <x:c r="H11" s="10" t="str"/>
      <x:c r="I11" s="10" t="str"/>
      <x:c r="J11" s="11" t="b">
        <x:v>1</x:v>
      </x:c>
      <x:c r="K11" s="10" t="str">
        <x:v>ACCEPTED</x:v>
      </x:c>
      <x:c r="L11" s="12" t="str"/>
    </x:row>
    <x:row r="12" ht="42" customHeight="1">
      <x:c r="A12" s="9" t="n">
        <x:v>11</x:v>
      </x:c>
      <x:c r="B12" s="10" t="str">
        <x:v>BaTiO3</x:v>
      </x:c>
      <x:c r="C12" s="10" t="n">
        <x:v>120</x:v>
      </x:c>
      <x:c r="D12" s="10" t="str">
        <x:v>°C</x:v>
      </x:c>
      <x:c r="E12" s="10" t="str"/>
      <x:c r="F12" s="10" t="n">
        <x:v>6</x:v>
      </x:c>
      <x:c r="G12" s="10" t="str">
        <x:v>background</x:v>
      </x:c>
      <x:c r="H12" s="10" t="str">
        <x:v>ferroelectric-paraelectric</x:v>
      </x:c>
      <x:c r="I12" s="10" t="str">
        <x:v>typical; not observed in the current CoFe2O4-Ba0.97Sr0.03TiO3 composite</x:v>
      </x:c>
      <x:c r="J12" s="11" t="b">
        <x:v>1</x:v>
      </x:c>
      <x:c r="K12" s="10" t="str">
        <x:v>ACCEPTED</x:v>
      </x:c>
      <x:c r="L12" s="12" t="str">
        <x:v>The typical maximum of epsilon' at about 120 °C, which stems from the ferroelectric to paraelectric phase transition of BaTiO3, was not found...</x:v>
      </x:c>
    </x:row>
    <x:row r="13" ht="42" customHeight="1">
      <x:c r="A13" s="9" t="n">
        <x:v>12</x:v>
      </x:c>
      <x:c r="B13" s="10" t="str">
        <x:v>(1−y)BiFe1−xCrxO3–yBaTi1−xMnxO3 (y=0.24, x=0.01)</x:v>
      </x:c>
      <x:c r="C13" s="10" t="n">
        <x:v>853.1</x:v>
      </x:c>
      <x:c r="D13" s="10" t="str">
        <x:v>K</x:v>
      </x:c>
      <x:c r="E13" s="10" t="str"/>
      <x:c r="F13" s="10" t="n">
        <x:v>6</x:v>
      </x:c>
      <x:c r="G13" s="10" t="str">
        <x:v>current_work</x:v>
      </x:c>
      <x:c r="H13" s="10" t="str">
        <x:v>normal ferroelectric–paraelectric</x:v>
      </x:c>
      <x:c r="I13" s="10" t="str"/>
      <x:c r="J13" s="11" t="b">
        <x:v>1</x:v>
      </x:c>
      <x:c r="K13" s="10" t="str">
        <x:v>ACCEPTED</x:v>
      </x:c>
      <x:c r="L13" s="12" t="str"/>
    </x:row>
    <x:row r="14" ht="42" customHeight="1">
      <x:c r="A14" s="9" t="n">
        <x:v>12</x:v>
      </x:c>
      <x:c r="B14" s="10" t="str">
        <x:v>BiFeO3</x:v>
      </x:c>
      <x:c r="C14" s="10" t="n">
        <x:v>1100</x:v>
      </x:c>
      <x:c r="D14" s="10" t="str">
        <x:v>K</x:v>
      </x:c>
      <x:c r="E14" s="10" t="str"/>
      <x:c r="F14" s="10" t="n">
        <x:v>1</x:v>
      </x:c>
      <x:c r="G14" s="10" t="str">
        <x:v>background</x:v>
      </x:c>
      <x:c r="H14" s="10" t="str"/>
      <x:c r="I14" s="10" t="str">
        <x:v>approximately</x:v>
      </x:c>
      <x:c r="J14" s="11" t="b">
        <x:v>1</x:v>
      </x:c>
      <x:c r="K14" s="10" t="str">
        <x:v>ACCEPTED</x:v>
      </x:c>
      <x:c r="L14" s="12" t="str"/>
    </x:row>
    <x:row r="15" ht="42" customHeight="1">
      <x:c r="A15" s="9" t="n">
        <x:v>14</x:v>
      </x:c>
      <x:c r="B15" s="10" t="str">
        <x:v>BiFeO3</x:v>
      </x:c>
      <x:c r="C15" s="10" t="n">
        <x:v>1103</x:v>
      </x:c>
      <x:c r="D15" s="10" t="str">
        <x:v>K</x:v>
      </x:c>
      <x:c r="E15" s="10" t="str"/>
      <x:c r="F15" s="10" t="n">
        <x:v>2</x:v>
      </x:c>
      <x:c r="G15" s="10" t="str">
        <x:v>background</x:v>
      </x:c>
      <x:c r="H15" s="10" t="str"/>
      <x:c r="I15" s="10" t="str"/>
      <x:c r="J15" s="11" t="b">
        <x:v>1</x:v>
      </x:c>
      <x:c r="K15" s="10" t="str">
        <x:v>ACCEPTED</x:v>
      </x:c>
      <x:c r="L15" s="12" t="str"/>
    </x:row>
    <x:row r="16" ht="42" customHeight="1">
      <x:c r="A16" s="9" t="n">
        <x:v>15</x:v>
      </x:c>
      <x:c r="B16" s="10" t="str">
        <x:v>0.67BiFeO3–0.33Ba0.70Ca0.30TiO3</x:v>
      </x:c>
      <x:c r="C16" s="10" t="n">
        <x:v>634</x:v>
      </x:c>
      <x:c r="D16" s="10" t="str">
        <x:v>K</x:v>
      </x:c>
      <x:c r="E16" s="10" t="str"/>
      <x:c r="F16" s="10" t="n">
        <x:v>3</x:v>
      </x:c>
      <x:c r="G16" s="10" t="str">
        <x:v>background_table</x:v>
      </x:c>
      <x:c r="H16" s="10" t="str"/>
      <x:c r="I16" s="10" t="str"/>
      <x:c r="J16" s="11" t="b">
        <x:v>1</x:v>
      </x:c>
      <x:c r="K16" s="10" t="str">
        <x:v>ACCEPTED</x:v>
      </x:c>
      <x:c r="L16" s="12" t="str"/>
    </x:row>
    <x:row r="17" ht="42" customHeight="1">
      <x:c r="A17" s="9" t="n">
        <x:v>15</x:v>
      </x:c>
      <x:c r="B17" s="10" t="str">
        <x:v>0.725BiFeO3–0.275Ba0.85Ca0.15Ti0.9Zr0.075Sn0.025O3</x:v>
      </x:c>
      <x:c r="C17" s="10" t="n">
        <x:v>673</x:v>
      </x:c>
      <x:c r="D17" s="10" t="str">
        <x:v>K</x:v>
      </x:c>
      <x:c r="E17" s="10" t="str"/>
      <x:c r="F17" s="10" t="n">
        <x:v>3</x:v>
      </x:c>
      <x:c r="G17" s="10" t="str">
        <x:v>background_table</x:v>
      </x:c>
      <x:c r="H17" s="10" t="str"/>
      <x:c r="I17" s="10" t="str"/>
      <x:c r="J17" s="11" t="b">
        <x:v>1</x:v>
      </x:c>
      <x:c r="K17" s="10" t="str">
        <x:v>ACCEPTED</x:v>
      </x:c>
      <x:c r="L17" s="12" t="str"/>
    </x:row>
    <x:row r="18" ht="42" customHeight="1">
      <x:c r="A18" s="9" t="n">
        <x:v>15</x:v>
      </x:c>
      <x:c r="B18" s="10" t="str">
        <x:v>0.74BiFeO3–0.26(Ba0.85Ca0.15)TiO3–1.2 wt.% MnO2</x:v>
      </x:c>
      <x:c r="C18" s="10" t="n">
        <x:v>689</x:v>
      </x:c>
      <x:c r="D18" s="10" t="str">
        <x:v>K</x:v>
      </x:c>
      <x:c r="E18" s="10" t="str"/>
      <x:c r="F18" s="10" t="n">
        <x:v>3</x:v>
      </x:c>
      <x:c r="G18" s="10" t="str">
        <x:v>current_work_table</x:v>
      </x:c>
      <x:c r="H18" s="10" t="str"/>
      <x:c r="I18" s="10" t="str">
        <x:v>article also discusses frequency-dependent relaxor Tm</x:v>
      </x:c>
      <x:c r="J18" s="11" t="b">
        <x:v>1</x:v>
      </x:c>
      <x:c r="K18" s="10" t="str">
        <x:v>ACCEPTED</x:v>
      </x:c>
      <x:c r="L18" s="12" t="str">
        <x:v>Table I labels the property column as TC (K) and reports 689 K for the 1.2 wt.% MnO2 sample.</x:v>
      </x:c>
    </x:row>
    <x:row r="19" ht="42" customHeight="1">
      <x:c r="A19" s="9" t="n">
        <x:v>15</x:v>
      </x:c>
      <x:c r="B19" s="10" t="str">
        <x:v>0.6BiFe0.85Co0.15O3–0.4(Bi0.5K0.5)TiO3</x:v>
      </x:c>
      <x:c r="C19" s="10" t="n">
        <x:v>690</x:v>
      </x:c>
      <x:c r="D19" s="10" t="str">
        <x:v>K</x:v>
      </x:c>
      <x:c r="E19" s="10" t="str"/>
      <x:c r="F19" s="10" t="n">
        <x:v>3</x:v>
      </x:c>
      <x:c r="G19" s="10" t="str">
        <x:v>background_table</x:v>
      </x:c>
      <x:c r="H19" s="10" t="str"/>
      <x:c r="I19" s="10" t="str"/>
      <x:c r="J19" s="11" t="b">
        <x:v>1</x:v>
      </x:c>
      <x:c r="K19" s="10" t="str">
        <x:v>ACCEPTED</x:v>
      </x:c>
      <x:c r="L19" s="12" t="str"/>
    </x:row>
    <x:row r="20" ht="42" customHeight="1">
      <x:c r="A20" s="9" t="n">
        <x:v>15</x:v>
      </x:c>
      <x:c r="B20" s="10" t="str">
        <x:v>0.74BiFeO3–0.26(Ba0.85Ca0.15)TiO3–0.8 wt.% MnO2</x:v>
      </x:c>
      <x:c r="C20" s="10" t="n">
        <x:v>698</x:v>
      </x:c>
      <x:c r="D20" s="10" t="str">
        <x:v>K</x:v>
      </x:c>
      <x:c r="E20" s="10" t="str"/>
      <x:c r="F20" s="10" t="n">
        <x:v>3</x:v>
      </x:c>
      <x:c r="G20" s="10" t="str">
        <x:v>current_work_table</x:v>
      </x:c>
      <x:c r="H20" s="10" t="str"/>
      <x:c r="I20" s="10" t="str">
        <x:v>article also discusses frequency-dependent relaxor Tm</x:v>
      </x:c>
      <x:c r="J20" s="11" t="b">
        <x:v>1</x:v>
      </x:c>
      <x:c r="K20" s="10" t="str">
        <x:v>ACCEPTED</x:v>
      </x:c>
      <x:c r="L20" s="12" t="str">
        <x:v>Table I labels the property column as TC (K) and reports 698 K for the 0.8 wt.% MnO2 sample; the introduction also explicitly states TC = 698 K for x = 0.8.</x:v>
      </x:c>
    </x:row>
    <x:row r="21" ht="42" customHeight="1">
      <x:c r="A21" s="9" t="n">
        <x:v>15</x:v>
      </x:c>
      <x:c r="B21" s="10" t="str">
        <x:v>0.6BiFeO3–0.4Bi0.5K0.5TiO3</x:v>
      </x:c>
      <x:c r="C21" s="10" t="n">
        <x:v>703</x:v>
      </x:c>
      <x:c r="D21" s="10" t="str">
        <x:v>K</x:v>
      </x:c>
      <x:c r="E21" s="10" t="str"/>
      <x:c r="F21" s="10" t="n">
        <x:v>3</x:v>
      </x:c>
      <x:c r="G21" s="10" t="str">
        <x:v>background_table</x:v>
      </x:c>
      <x:c r="H21" s="10" t="str"/>
      <x:c r="I21" s="10" t="str"/>
      <x:c r="J21" s="11" t="b">
        <x:v>1</x:v>
      </x:c>
      <x:c r="K21" s="10" t="str">
        <x:v>ACCEPTED</x:v>
      </x:c>
      <x:c r="L21" s="12" t="str"/>
    </x:row>
    <x:row r="22" ht="42" customHeight="1">
      <x:c r="A22" s="9" t="n">
        <x:v>15</x:v>
      </x:c>
      <x:c r="B22" s="10" t="str">
        <x:v>0.7Bi0.9925Ca0.0075FeO3–0.3BaTiO3 + 0.3 wt.% MnO2</x:v>
      </x:c>
      <x:c r="C22" s="10" t="n">
        <x:v>711</x:v>
      </x:c>
      <x:c r="D22" s="10" t="str">
        <x:v>K</x:v>
      </x:c>
      <x:c r="E22" s="10" t="str"/>
      <x:c r="F22" s="10" t="n">
        <x:v>3</x:v>
      </x:c>
      <x:c r="G22" s="10" t="str">
        <x:v>background_table</x:v>
      </x:c>
      <x:c r="H22" s="10" t="str"/>
      <x:c r="I22" s="10" t="str"/>
      <x:c r="J22" s="11" t="b">
        <x:v>1</x:v>
      </x:c>
      <x:c r="K22" s="10" t="str">
        <x:v>ACCEPTED</x:v>
      </x:c>
      <x:c r="L22" s="12" t="str"/>
    </x:row>
    <x:row r="23" ht="42" customHeight="1">
      <x:c r="A23" s="9" t="n">
        <x:v>15</x:v>
      </x:c>
      <x:c r="B23" s="10" t="str">
        <x:v>0.67Bi1.05Fe0.97Ga0.03O3–0.33BaTiO3</x:v>
      </x:c>
      <x:c r="C23" s="10" t="n">
        <x:v>727</x:v>
      </x:c>
      <x:c r="D23" s="10" t="str">
        <x:v>K</x:v>
      </x:c>
      <x:c r="E23" s="10" t="str"/>
      <x:c r="F23" s="10" t="n">
        <x:v>3</x:v>
      </x:c>
      <x:c r="G23" s="10" t="str">
        <x:v>background_table</x:v>
      </x:c>
      <x:c r="H23" s="10" t="str"/>
      <x:c r="I23" s="10" t="str"/>
      <x:c r="J23" s="11" t="b">
        <x:v>1</x:v>
      </x:c>
      <x:c r="K23" s="10" t="str">
        <x:v>ACCEPTED</x:v>
      </x:c>
      <x:c r="L23" s="12" t="str"/>
    </x:row>
    <x:row r="24" ht="42" customHeight="1">
      <x:c r="A24" s="9" t="n">
        <x:v>15</x:v>
      </x:c>
      <x:c r="B24" s="10" t="str">
        <x:v>0.74BiFeO3–0.26(Ba0.85Ca0.15)TiO3</x:v>
      </x:c>
      <x:c r="C24" s="10" t="n">
        <x:v>732</x:v>
      </x:c>
      <x:c r="D24" s="10" t="str">
        <x:v>K</x:v>
      </x:c>
      <x:c r="E24" s="10" t="str"/>
      <x:c r="F24" s="10" t="n">
        <x:v>8</x:v>
      </x:c>
      <x:c r="G24" s="10" t="str">
        <x:v>current_work</x:v>
      </x:c>
      <x:c r="H24" s="10" t="str"/>
      <x:c r="I24" s="10" t="str"/>
      <x:c r="J24" s="11" t="b">
        <x:v>1</x:v>
      </x:c>
      <x:c r="K24" s="10" t="str">
        <x:v>ACCEPTED</x:v>
      </x:c>
      <x:c r="L24" s="12" t="str"/>
    </x:row>
    <x:row r="25" ht="42" customHeight="1">
      <x:c r="A25" s="9" t="n">
        <x:v>17</x:v>
      </x:c>
      <x:c r="B25" s="10" t="str">
        <x:v>BiFeO3</x:v>
      </x:c>
      <x:c r="C25" s="10" t="n">
        <x:v>1103</x:v>
      </x:c>
      <x:c r="D25" s="10" t="str">
        <x:v>K</x:v>
      </x:c>
      <x:c r="E25" s="10" t="str"/>
      <x:c r="F25" s="10" t="n">
        <x:v>1</x:v>
      </x:c>
      <x:c r="G25" s="10" t="str">
        <x:v>background</x:v>
      </x:c>
      <x:c r="H25" s="10" t="str"/>
      <x:c r="I25" s="10" t="str">
        <x:v>approximately</x:v>
      </x:c>
      <x:c r="J25" s="11" t="b">
        <x:v>1</x:v>
      </x:c>
      <x:c r="K25" s="10" t="str">
        <x:v>ACCEPTED</x:v>
      </x:c>
      <x:c r="L25" s="12" t="str"/>
    </x:row>
    <x:row r="26" ht="42" customHeight="1">
      <x:c r="A26" s="9" t="n">
        <x:v>19</x:v>
      </x:c>
      <x:c r="B26" s="10" t="str">
        <x:v>80 wt.% Bi0.9La0.1FeO3–20 wt.% Mn0.6Zn0.3Fe2.1O4 composite after high-pressure torsion</x:v>
      </x:c>
      <x:c r="C26" s="10" t="n">
        <x:v>367</x:v>
      </x:c>
      <x:c r="D26" s="10" t="str">
        <x:v>K</x:v>
      </x:c>
      <x:c r="E26" s="10" t="str"/>
      <x:c r="F26" s="10" t="n">
        <x:v>5</x:v>
      </x:c>
      <x:c r="G26" s="10" t="str">
        <x:v>current_work</x:v>
      </x:c>
      <x:c r="H26" s="10" t="str"/>
      <x:c r="I26" s="10" t="str"/>
      <x:c r="J26" s="11" t="b">
        <x:v>1</x:v>
      </x:c>
      <x:c r="K26" s="10" t="str">
        <x:v>ACCEPTED</x:v>
      </x:c>
      <x:c r="L26" s="12" t="str"/>
    </x:row>
    <x:row r="27" ht="42" customHeight="1">
      <x:c r="A27" s="9" t="n">
        <x:v>19</x:v>
      </x:c>
      <x:c r="B27" s="10" t="str">
        <x:v>Mn0.6Zn0.3Fe2.1O4 (MZFO, literature value)</x:v>
      </x:c>
      <x:c r="C27" s="10" t="n">
        <x:v>501</x:v>
      </x:c>
      <x:c r="D27" s="10" t="str">
        <x:v>K</x:v>
      </x:c>
      <x:c r="E27" s="10" t="str"/>
      <x:c r="F27" s="10" t="n">
        <x:v>2</x:v>
      </x:c>
      <x:c r="G27" s="10" t="str">
        <x:v>background</x:v>
      </x:c>
      <x:c r="H27" s="10" t="str"/>
      <x:c r="I27" s="10" t="str"/>
      <x:c r="J27" s="11" t="b">
        <x:v>1</x:v>
      </x:c>
      <x:c r="K27" s="10" t="str">
        <x:v>ACCEPTED</x:v>
      </x:c>
      <x:c r="L27" s="12" t="str"/>
    </x:row>
    <x:row r="28" ht="42" customHeight="1">
      <x:c r="A28" s="9" t="n">
        <x:v>19</x:v>
      </x:c>
      <x:c r="B28" s="10" t="str">
        <x:v>Mn0.6Zn0.3Fe2.1O4 (initial MZFO powder)</x:v>
      </x:c>
      <x:c r="C28" s="10" t="n">
        <x:v>518</x:v>
      </x:c>
      <x:c r="D28" s="10" t="str">
        <x:v>K</x:v>
      </x:c>
      <x:c r="E28" s="10" t="str"/>
      <x:c r="F28" s="10" t="n">
        <x:v>4</x:v>
      </x:c>
      <x:c r="G28" s="10" t="str">
        <x:v>current_work</x:v>
      </x:c>
      <x:c r="H28" s="10" t="str"/>
      <x:c r="I28" s="10" t="str"/>
      <x:c r="J28" s="11" t="b">
        <x:v>1</x:v>
      </x:c>
      <x:c r="K28" s="10" t="str">
        <x:v>ACCEPTED</x:v>
      </x:c>
      <x:c r="L28" s="12" t="str"/>
    </x:row>
    <x:row r="29" ht="42" customHeight="1">
      <x:c r="A29" s="9" t="n">
        <x:v>19</x:v>
      </x:c>
      <x:c r="B29" s="10" t="str">
        <x:v>80 wt.% Bi0.9La0.1FeO3–20 wt.% Mn0.6Zn0.3Fe2.1O4 composite</x:v>
      </x:c>
      <x:c r="C29" s="10" t="n">
        <x:v>518</x:v>
      </x:c>
      <x:c r="D29" s="10" t="str">
        <x:v>K</x:v>
      </x:c>
      <x:c r="E29" s="10" t="str"/>
      <x:c r="F29" s="10" t="n">
        <x:v>5</x:v>
      </x:c>
      <x:c r="G29" s="10" t="str">
        <x:v>current_work</x:v>
      </x:c>
      <x:c r="H29" s="10" t="str"/>
      <x:c r="I29" s="10" t="str"/>
      <x:c r="J29" s="11" t="b">
        <x:v>1</x:v>
      </x:c>
      <x:c r="K29" s="10" t="str">
        <x:v>ACCEPTED</x:v>
      </x:c>
      <x:c r="L29" s="12" t="str"/>
    </x:row>
    <x:row r="30" ht="42" customHeight="1">
      <x:c r="A30" s="9" t="n">
        <x:v>19</x:v>
      </x:c>
      <x:c r="B30" s="10" t="str">
        <x:v>80 wt.% Bi0.9La0.1FeO3–20 wt.% Mn0.6Zn0.3Fe2.1O4 composite after high-pressure torsion (new ferromagnetic order)</x:v>
      </x:c>
      <x:c r="C30" s="10" t="n">
        <x:v>778</x:v>
      </x:c>
      <x:c r="D30" s="10" t="str">
        <x:v>K</x:v>
      </x:c>
      <x:c r="E30" s="10" t="str"/>
      <x:c r="F30" s="10" t="n">
        <x:v>5</x:v>
      </x:c>
      <x:c r="G30" s="10" t="str">
        <x:v>current_work</x:v>
      </x:c>
      <x:c r="H30" s="10" t="str"/>
      <x:c r="I30" s="10" t="str"/>
      <x:c r="J30" s="11" t="b">
        <x:v>1</x:v>
      </x:c>
      <x:c r="K30" s="10" t="str">
        <x:v>ACCEPTED</x:v>
      </x:c>
      <x:c r="L30" s="12" t="str"/>
    </x:row>
    <x:row r="31" ht="42" customHeight="1">
      <x:c r="A31" s="9" t="n">
        <x:v>19</x:v>
      </x:c>
      <x:c r="B31" s="10" t="str">
        <x:v>Bi0.9La0.1FeO3 fraction in high-pressure-torsion composite</x:v>
      </x:c>
      <x:c r="C31" s="10" t="n">
        <x:v>950</x:v>
      </x:c>
      <x:c r="D31" s="10" t="str">
        <x:v>K</x:v>
      </x:c>
      <x:c r="E31" s="10" t="str"/>
      <x:c r="F31" s="10" t="n">
        <x:v>7</x:v>
      </x:c>
      <x:c r="G31" s="10" t="str">
        <x:v>current_work</x:v>
      </x:c>
      <x:c r="H31" s="10" t="str">
        <x:v>ferroelectric</x:v>
      </x:c>
      <x:c r="I31" s="10" t="str"/>
      <x:c r="J31" s="11" t="b">
        <x:v>1</x:v>
      </x:c>
      <x:c r="K31" s="10" t="str">
        <x:v>ACCEPTED</x:v>
      </x:c>
      <x:c r="L31" s="12" t="str"/>
    </x:row>
    <x:row r="32" ht="42" customHeight="1">
      <x:c r="A32" s="9" t="n">
        <x:v>20</x:v>
      </x:c>
      <x:c r="B32" s="10" t="str">
        <x:v>CrFe2O4</x:v>
      </x:c>
      <x:c r="C32" s="10" t="n">
        <x:v>420</x:v>
      </x:c>
      <x:c r="D32" s="10" t="str">
        <x:v>K</x:v>
      </x:c>
      <x:c r="E32" s="10" t="str"/>
      <x:c r="F32" s="10" t="n">
        <x:v>2</x:v>
      </x:c>
      <x:c r="G32" s="10" t="str">
        <x:v>background</x:v>
      </x:c>
      <x:c r="H32" s="10" t="str"/>
      <x:c r="I32" s="10" t="str">
        <x:v>approximately</x:v>
      </x:c>
      <x:c r="J32" s="11" t="b">
        <x:v>1</x:v>
      </x:c>
      <x:c r="K32" s="10" t="str">
        <x:v>ACCEPTED</x:v>
      </x:c>
      <x:c r="L32" s="12" t="str"/>
    </x:row>
    <x:row r="33" ht="42" customHeight="1">
      <x:c r="A33" s="9" t="n">
        <x:v>20</x:v>
      </x:c>
      <x:c r="B33" s="10" t="str">
        <x:v>BiFeO3</x:v>
      </x:c>
      <x:c r="C33" s="10" t="n">
        <x:v>1103</x:v>
      </x:c>
      <x:c r="D33" s="10" t="str">
        <x:v>K</x:v>
      </x:c>
      <x:c r="E33" s="10" t="str"/>
      <x:c r="F33" s="10" t="n">
        <x:v>1</x:v>
      </x:c>
      <x:c r="G33" s="10" t="str">
        <x:v>background</x:v>
      </x:c>
      <x:c r="H33" s="10" t="str"/>
      <x:c r="I33" s="10" t="str">
        <x:v>approximately</x:v>
      </x:c>
      <x:c r="J33" s="11" t="b">
        <x:v>1</x:v>
      </x:c>
      <x:c r="K33" s="10" t="str">
        <x:v>ACCEPTED</x:v>
      </x:c>
      <x:c r="L33" s="12" t="str"/>
    </x:row>
    <x:row r="34" ht="42" customHeight="1">
      <x:c r="A34" s="9" t="n">
        <x:v>22</x:v>
      </x:c>
      <x:c r="B34" s="10" t="str">
        <x:v>BiFeO3</x:v>
      </x:c>
      <x:c r="C34" s="10" t="n">
        <x:v>1103</x:v>
      </x:c>
      <x:c r="D34" s="10" t="str">
        <x:v>K</x:v>
      </x:c>
      <x:c r="E34" s="10" t="str"/>
      <x:c r="F34" s="10" t="n">
        <x:v>1</x:v>
      </x:c>
      <x:c r="G34" s="10" t="str">
        <x:v>background</x:v>
      </x:c>
      <x:c r="H34" s="10" t="str"/>
      <x:c r="I34" s="10" t="str">
        <x:v>approximately</x:v>
      </x:c>
      <x:c r="J34" s="11" t="b">
        <x:v>1</x:v>
      </x:c>
      <x:c r="K34" s="10" t="str">
        <x:v>ACCEPTED</x:v>
      </x:c>
      <x:c r="L34" s="12" t="str">
        <x:v>The Curie temperature (TC) and Néel temperature (TN) for BFO are ~1103 K and ~643 K, respectively.</x:v>
      </x:c>
    </x:row>
    <x:row r="35" ht="42" customHeight="1">
      <x:c r="A35" s="9" t="n">
        <x:v>24</x:v>
      </x:c>
      <x:c r="B35" s="10" t="str">
        <x:v>BF-BNT-BT (y=0.23, x=0.00; y0.23x0.00)</x:v>
      </x:c>
      <x:c r="C35" s="10" t="n">
        <x:v>774</x:v>
      </x:c>
      <x:c r="D35" s="10" t="str">
        <x:v>K</x:v>
      </x:c>
      <x:c r="E35" s="10" t="str"/>
      <x:c r="F35" s="10" t="n">
        <x:v>4</x:v>
      </x:c>
      <x:c r="G35" s="10" t="str">
        <x:v>current_work</x:v>
      </x:c>
      <x:c r="H35" s="10" t="str">
        <x:v>normal ferroelectric–paraelectric</x:v>
      </x:c>
      <x:c r="I35" s="10" t="str">
        <x:v>approximately</x:v>
      </x:c>
      <x:c r="J35" s="11" t="b">
        <x:v>1</x:v>
      </x:c>
      <x:c r="K35" s="10" t="str">
        <x:v>ACCEPTED</x:v>
      </x:c>
      <x:c r="L35" s="12" t="str">
        <x:v>A sharp and frequency-independent peak at TC ~774 K observed for as-prepared y0.23x0.00, which can be ascribed to the FE to paraelectric transition.</x:v>
      </x:c>
    </x:row>
    <x:row r="36" ht="42" customHeight="1">
      <x:c r="A36" s="9" t="n">
        <x:v>24</x:v>
      </x:c>
      <x:c r="B36" s="10" t="str">
        <x:v>BiFeO3</x:v>
      </x:c>
      <x:c r="C36" s="10" t="n">
        <x:v>1100</x:v>
      </x:c>
      <x:c r="D36" s="10" t="str">
        <x:v>K</x:v>
      </x:c>
      <x:c r="E36" s="10" t="str"/>
      <x:c r="F36" s="10" t="n">
        <x:v>2</x:v>
      </x:c>
      <x:c r="G36" s="10" t="str">
        <x:v>background</x:v>
      </x:c>
      <x:c r="H36" s="10" t="str"/>
      <x:c r="I36" s="10" t="str">
        <x:v>approximately</x:v>
      </x:c>
      <x:c r="J36" s="11" t="b">
        <x:v>1</x:v>
      </x:c>
      <x:c r="K36" s="10" t="str">
        <x:v>ACCEPTED</x:v>
      </x:c>
      <x:c r="L36" s="12" t="str">
        <x:v>Multiferroic BiFeO3 shows coexistence of robust ferroelectric (TC ~1100 K) and antiferromagnetic (TN ~640 K) orders.</x:v>
      </x:c>
    </x:row>
    <x:row r="37" ht="42" customHeight="1">
      <x:c r="A37" s="9" t="n">
        <x:v>25</x:v>
      </x:c>
      <x:c r="B37" s="10" t="str">
        <x:v>lanthanum-substituted (1−x)BiFeO3−xPbTiO3</x:v>
      </x:c>
      <x:c r="C37" s="10" t="n">
        <x:v>227</x:v>
      </x:c>
      <x:c r="D37" s="10" t="str">
        <x:v>°C</x:v>
      </x:c>
      <x:c r="E37" s="10" t="str"/>
      <x:c r="F37" s="10" t="n">
        <x:v>4</x:v>
      </x:c>
      <x:c r="G37" s="10" t="str">
        <x:v>background</x:v>
      </x:c>
      <x:c r="H37" s="10" t="str">
        <x:v>ferroelectric transition</x:v>
      </x:c>
      <x:c r="I37" s="10" t="str"/>
      <x:c r="J37" s="11" t="b">
        <x:v>1</x:v>
      </x:c>
      <x:c r="K37" s="10" t="str">
        <x:v>ACCEPTED</x:v>
      </x:c>
      <x:c r="L37" s="12" t="str">
        <x:v>The ferroelectric transition ... occurs at 650 °C, dropping to 227 °C when lanthanum is substituted.</x:v>
      </x:c>
    </x:row>
    <x:row r="38" ht="42" customHeight="1">
      <x:c r="A38" s="9" t="n">
        <x:v>25</x:v>
      </x:c>
      <x:c r="B38" s="10" t="str">
        <x:v>undoped (1−x)BiFeO3−xPbTiO3</x:v>
      </x:c>
      <x:c r="C38" s="10" t="n">
        <x:v>650</x:v>
      </x:c>
      <x:c r="D38" s="10" t="str">
        <x:v>°C</x:v>
      </x:c>
      <x:c r="E38" s="10" t="str"/>
      <x:c r="F38" s="10" t="n">
        <x:v>4</x:v>
      </x:c>
      <x:c r="G38" s="10" t="str">
        <x:v>background</x:v>
      </x:c>
      <x:c r="H38" s="10" t="str">
        <x:v>ferroelectric transition</x:v>
      </x:c>
      <x:c r="I38" s="10" t="str"/>
      <x:c r="J38" s="11" t="b">
        <x:v>1</x:v>
      </x:c>
      <x:c r="K38" s="10" t="str">
        <x:v>ACCEPTED</x:v>
      </x:c>
      <x:c r="L38" s="12" t="str">
        <x:v>The ferroelectric transition for undoped (1-x)BFO-xPTO correlates with the dielectric anomaly and occurs at 650 °C.</x:v>
      </x:c>
    </x:row>
    <x:row r="39" ht="42" customHeight="1">
      <x:c r="A39" s="9" t="n">
        <x:v>25</x:v>
      </x:c>
      <x:c r="B39" s="10" t="str">
        <x:v>BiFeO3</x:v>
      </x:c>
      <x:c r="C39" s="10" t="n">
        <x:v>1103</x:v>
      </x:c>
      <x:c r="D39" s="10" t="str">
        <x:v>K</x:v>
      </x:c>
      <x:c r="E39" s="10" t="str"/>
      <x:c r="F39" s="10" t="n">
        <x:v>2</x:v>
      </x:c>
      <x:c r="G39" s="10" t="str">
        <x:v>background</x:v>
      </x:c>
      <x:c r="H39" s="10" t="str"/>
      <x:c r="I39" s="10" t="str"/>
      <x:c r="J39" s="11" t="b">
        <x:v>1</x:v>
      </x:c>
      <x:c r="K39" s="10" t="str">
        <x:v>ACCEPTED</x:v>
      </x:c>
      <x:c r="L39" s="12" t="str">
        <x:v>BFO exhibits ferroelectricity as well as G-type antiferromagnetism with Curie temperature (TC) and Néel temperature (TN) at 1103 K and 643 K respectively.</x:v>
      </x:c>
    </x:row>
    <x:row r="40" ht="42" customHeight="1">
      <x:c r="A40" s="9" t="n">
        <x:v>26</x:v>
      </x:c>
      <x:c r="B40" s="10" t="str">
        <x:v>PZT phase in 3BFO_n/7PZT_m composite sintered at 650 °C</x:v>
      </x:c>
      <x:c r="C40" s="10" t="n">
        <x:v>355</x:v>
      </x:c>
      <x:c r="D40" s="10" t="str">
        <x:v>°C</x:v>
      </x:c>
      <x:c r="E40" s="10" t="str"/>
      <x:c r="F40" s="10" t="n">
        <x:v>5</x:v>
      </x:c>
      <x:c r="G40" s="10" t="str">
        <x:v>current_work</x:v>
      </x:c>
      <x:c r="H40" s="10" t="str">
        <x:v>dielectric anomaly assigned to PZT Curie temperature</x:v>
      </x:c>
      <x:c r="I40" s="10" t="str"/>
      <x:c r="J40" s="11" t="b">
        <x:v>1</x:v>
      </x:c>
      <x:c r="K40" s="10" t="str">
        <x:v>ACCEPTED</x:v>
      </x:c>
      <x:c r="L40" s="12" t="str">
        <x:v>The 3BFOn/7PZTm composite sintered at Ts=650 °C suggests a dielectric anomaly at the PZT's Curie temperature TC around 355 °C.</x:v>
      </x:c>
    </x:row>
    <x:row r="41" ht="42" customHeight="1">
      <x:c r="A41" s="9" t="n">
        <x:v>27</x:v>
      </x:c>
      <x:c r="B41" s="10" t="str">
        <x:v>0.65BiFeO3–0.35[(1−x)Bi0.5K0.5TiO3−xBaTiO3] (x=0.4)</x:v>
      </x:c>
      <x:c r="C41" s="10" t="n">
        <x:v>742.6</x:v>
      </x:c>
      <x:c r="D41" s="10" t="str">
        <x:v>K</x:v>
      </x:c>
      <x:c r="E41" s="10" t="str"/>
      <x:c r="F41" s="10" t="n">
        <x:v>4</x:v>
      </x:c>
      <x:c r="G41" s="10" t="str">
        <x:v>current_work</x:v>
      </x:c>
      <x:c r="H41" s="10" t="str">
        <x:v>normal ferroelectric</x:v>
      </x:c>
      <x:c r="I41" s="10" t="str"/>
      <x:c r="J41" s="11" t="b">
        <x:v>1</x:v>
      </x:c>
      <x:c r="K41" s="10" t="str">
        <x:v>ACCEPTED</x:v>
      </x:c>
      <x:c r="L41" s="12" t="str">
        <x:v>The sample x=0.4 near the MPB shows frequency-independent peak near the FE Curie temperature TC ~742.6 K, which indicates a normal FE behavior.</x:v>
      </x:c>
    </x:row>
    <x:row r="42" ht="42" customHeight="1">
      <x:c r="A42" s="9" t="n">
        <x:v>27</x:v>
      </x:c>
      <x:c r="B42" s="10" t="str">
        <x:v>BiFeO3</x:v>
      </x:c>
      <x:c r="C42" s="10" t="n">
        <x:v>1103</x:v>
      </x:c>
      <x:c r="D42" s="10" t="str">
        <x:v>K</x:v>
      </x:c>
      <x:c r="E42" s="10" t="str"/>
      <x:c r="F42" s="10" t="str"/>
      <x:c r="G42" s="10" t="str">
        <x:v>background</x:v>
      </x:c>
      <x:c r="H42" s="10" t="str"/>
      <x:c r="I42" s="10" t="str"/>
      <x:c r="J42" s="11" t="b">
        <x:v>1</x:v>
      </x:c>
      <x:c r="K42" s="10" t="str">
        <x:v>ACCEPTED</x:v>
      </x:c>
      <x:c r="L42" s="12" t="str"/>
    </x:row>
    <x:row r="43" ht="42" customHeight="1">
      <x:c r="A43" s="9" t="n">
        <x:v>28</x:v>
      </x:c>
      <x:c r="B43" s="10" t="str">
        <x:v>0.58BiFeO3–0.42Bi0.5K0.5TiO3 single crystal</x:v>
      </x:c>
      <x:c r="C43" s="10" t="n">
        <x:v>671.5</x:v>
      </x:c>
      <x:c r="D43" s="10" t="str">
        <x:v>K</x:v>
      </x:c>
      <x:c r="E43" s="10" t="str"/>
      <x:c r="F43" s="10" t="n">
        <x:v>4</x:v>
      </x:c>
      <x:c r="G43" s="10" t="str">
        <x:v>current_work</x:v>
      </x:c>
      <x:c r="H43" s="10" t="str">
        <x:v>ferroelectric</x:v>
      </x:c>
      <x:c r="I43" s="10" t="str">
        <x:v>approximately</x:v>
      </x:c>
      <x:c r="J43" s="11" t="b">
        <x:v>1</x:v>
      </x:c>
      <x:c r="K43" s="10" t="str">
        <x:v>ACCEPTED</x:v>
      </x:c>
      <x:c r="L43" s="12" t="str">
        <x:v>The FE Curie temperature TC of the crystal is about 671.5 K, as indicated by the peak in the temperature dependent dielectric constant curves.</x:v>
      </x:c>
    </x:row>
    <x:row r="44" ht="42" customHeight="1">
      <x:c r="A44" s="9" t="n">
        <x:v>28</x:v>
      </x:c>
      <x:c r="B44" s="10" t="str">
        <x:v>BiFeO3</x:v>
      </x:c>
      <x:c r="C44" s="10" t="n">
        <x:v>1100</x:v>
      </x:c>
      <x:c r="D44" s="10" t="str">
        <x:v>K</x:v>
      </x:c>
      <x:c r="E44" s="10" t="str"/>
      <x:c r="F44" s="10" t="n">
        <x:v>1</x:v>
      </x:c>
      <x:c r="G44" s="10" t="str">
        <x:v>background</x:v>
      </x:c>
      <x:c r="H44" s="10" t="str"/>
      <x:c r="I44" s="10" t="str">
        <x:v>approximately</x:v>
      </x:c>
      <x:c r="J44" s="11" t="b">
        <x:v>1</x:v>
      </x:c>
      <x:c r="K44" s="10" t="str">
        <x:v>ACCEPTED</x:v>
      </x:c>
      <x:c r="L44" s="12" t="str">
        <x:v>BFO with both high FE Curie temperature (TC ~1100 K) and high Néel temperature (TN ~643 K).</x:v>
      </x:c>
    </x:row>
    <x:row r="45" ht="42" customHeight="1">
      <x:c r="A45" s="9" t="n">
        <x:v>29</x:v>
      </x:c>
      <x:c r="B45" s="10" t="str">
        <x:v>(1−y)BiFe1−xCrxO3−yBaTi1−xMnxO3 (y=0.27, x=0.03)</x:v>
      </x:c>
      <x:c r="C45" s="10" t="n">
        <x:v>795.2</x:v>
      </x:c>
      <x:c r="D45" s="10" t="str">
        <x:v>K</x:v>
      </x:c>
      <x:c r="E45" s="10" t="str"/>
      <x:c r="F45" s="10" t="n">
        <x:v>5</x:v>
      </x:c>
      <x:c r="G45" s="10" t="str">
        <x:v>current_work</x:v>
      </x:c>
      <x:c r="H45" s="10" t="str">
        <x:v>ferroelectric–paraelectric</x:v>
      </x:c>
      <x:c r="I45" s="10" t="str">
        <x:v>approximately</x:v>
      </x:c>
      <x:c r="J45" s="11" t="b">
        <x:v>1</x:v>
      </x:c>
      <x:c r="K45" s="10" t="str">
        <x:v>ACCEPTED</x:v>
      </x:c>
      <x:c r="L45" s="12" t="str">
        <x:v>A sharp and nearly frequency-independent dielectric peak at TC ~795.2 K, corresponding to the FE to paraelectric transition, can be observed.</x:v>
      </x:c>
    </x:row>
    <x:row r="46" ht="42" customHeight="1">
      <x:c r="A46" s="9" t="n">
        <x:v>29</x:v>
      </x:c>
      <x:c r="B46" s="10" t="str">
        <x:v>BiFeO3</x:v>
      </x:c>
      <x:c r="C46" s="10" t="n">
        <x:v>1100</x:v>
      </x:c>
      <x:c r="D46" s="10" t="str">
        <x:v>K</x:v>
      </x:c>
      <x:c r="E46" s="10" t="str"/>
      <x:c r="F46" s="10" t="str"/>
      <x:c r="G46" s="10" t="str">
        <x:v>background</x:v>
      </x:c>
      <x:c r="H46" s="10" t="str"/>
      <x:c r="I46" s="10" t="str"/>
      <x:c r="J46" s="11" t="b">
        <x:v>1</x:v>
      </x:c>
      <x:c r="K46" s="10" t="str">
        <x:v>ACCEPTED</x:v>
      </x:c>
      <x:c r="L46" s="12" t="str"/>
    </x:row>
    <x:row r="47" ht="42" customHeight="1">
      <x:c r="A47" s="9" t="n">
        <x:v>30</x:v>
      </x:c>
      <x:c r="B47" s="10" t="str">
        <x:v>BiFeO3-BaTiO3 composite</x:v>
      </x:c>
      <x:c r="C47" s="10" t="n">
        <x:v>580</x:v>
      </x:c>
      <x:c r="D47" s="10" t="str">
        <x:v>°C</x:v>
      </x:c>
      <x:c r="E47" s="10" t="str">
        <x:v>&gt;</x:v>
      </x:c>
      <x:c r="F47" s="10" t="n">
        <x:v>2</x:v>
      </x:c>
      <x:c r="G47" s="10" t="str">
        <x:v>background</x:v>
      </x:c>
      <x:c r="H47" s="10" t="str">
        <x:v>Curie temperature</x:v>
      </x:c>
      <x:c r="I47" s="10" t="str">
        <x:v>approximately; lower-bound statement</x:v>
      </x:c>
      <x:c r="J47" s="11" t="b">
        <x:v>0</x:v>
      </x:c>
      <x:c r="K47" s="10" t="str">
        <x:v>ACCEPTED_NON_STRICT_RANGE</x:v>
      </x:c>
      <x:c r="L47" s="12" t="str">
        <x:v>...BFO-BTO composite with a high Curie temperature of over ~580 °C...</x:v>
      </x:c>
    </x:row>
    <x:row r="48" ht="42" customHeight="1">
      <x:c r="A48" s="13" t="n">
        <x:v>30</x:v>
      </x:c>
      <x:c r="B48" s="14" t="str">
        <x:v>BiFeO3</x:v>
      </x:c>
      <x:c r="C48" s="14" t="n">
        <x:v>830</x:v>
      </x:c>
      <x:c r="D48" s="14" t="str">
        <x:v>°C</x:v>
      </x:c>
      <x:c r="E48" s="14" t="str"/>
      <x:c r="F48" s="14" t="n">
        <x:v>1</x:v>
      </x:c>
      <x:c r="G48" s="14" t="str">
        <x:v>background</x:v>
      </x:c>
      <x:c r="H48" s="14" t="str"/>
      <x:c r="I48" s="14" t="str">
        <x:v>approximately</x:v>
      </x:c>
      <x:c r="J48" s="15" t="b">
        <x:v>1</x:v>
      </x:c>
      <x:c r="K48" s="14" t="str">
        <x:v>ACCEPTED</x:v>
      </x:c>
      <x:c r="L48" s="16" t="str">
        <x:v>The pristine BFO ceramic possesses a high Curie temperature of ~830 °C and Néel temperature of ~370 °C.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80" hidden="0" customWidth="1"/>
  </x:cols>
  <x:sheetData>
    <x:row r="1">
      <x:c r="A1" s="37" t="str">
        <x:v>TC Context-window 30 - Strict Metrics</x:v>
      </x:c>
      <x:c r="B1" s="38" t="str">
        <x:v>Value</x:v>
      </x:c>
    </x:row>
    <x:row r="2">
      <x:c r="A2" s="39" t="str">
        <x:v>Strict Gold facts</x:v>
      </x:c>
      <x:c r="B2" s="40" t="n">
        <x:v>46</x:v>
      </x:c>
    </x:row>
    <x:row r="3">
      <x:c r="A3" s="39" t="str">
        <x:v>Non-strict range Gold facts</x:v>
      </x:c>
      <x:c r="B3" s="40" t="n">
        <x:v>1</x:v>
      </x:c>
    </x:row>
    <x:row r="4">
      <x:c r="A4" s="39" t="str">
        <x:v>Strict predictions after exclusions/dedup</x:v>
      </x:c>
      <x:c r="B4" s="40" t="n">
        <x:v>40</x:v>
      </x:c>
    </x:row>
    <x:row r="5">
      <x:c r="A5" s="39" t="str">
        <x:v>TP</x:v>
      </x:c>
      <x:c r="B5" s="40" t="n">
        <x:v>40</x:v>
      </x:c>
    </x:row>
    <x:row r="6">
      <x:c r="A6" s="39" t="str">
        <x:v>FP</x:v>
      </x:c>
      <x:c r="B6" s="40" t="n">
        <x:v>0</x:v>
      </x:c>
    </x:row>
    <x:row r="7">
      <x:c r="A7" s="39" t="str">
        <x:v>FN</x:v>
      </x:c>
      <x:c r="B7" s="40" t="n">
        <x:v>6</x:v>
      </x:c>
    </x:row>
    <x:row r="8">
      <x:c r="A8" s="39" t="str">
        <x:v>Precision</x:v>
      </x:c>
      <x:c r="B8" s="41" t="n">
        <x:f>B5/(B5+B6)</x:f>
        <x:v>1</x:v>
      </x:c>
    </x:row>
    <x:row r="9">
      <x:c r="A9" s="39" t="str">
        <x:v>Recall</x:v>
      </x:c>
      <x:c r="B9" s="41" t="n">
        <x:f>B5/(B5+B7)</x:f>
        <x:v>0.8695652173913043</x:v>
      </x:c>
    </x:row>
    <x:row r="10">
      <x:c r="A10" s="39" t="str">
        <x:v>F1</x:v>
      </x:c>
      <x:c r="B10" s="41" t="n">
        <x:f>2*B8*B9/(B8+B9)</x:f>
        <x:v>0.9302325581395349</x:v>
      </x:c>
    </x:row>
    <x:row r="11">
      <x:c r="A11" s="42" t="str">
        <x:v>Scoring rule</x:v>
      </x:c>
      <x:c r="B11" s="43" t="str">
        <x:v>Paper + Tc value + unit; reviewed material aliases; Paper 19 367 K deduplicated; Paper 30 &gt;~580 °C excluded from strict scalar scoring.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2" hidden="0" customWidth="1"/>
    <x:col min="5" max="5" width="30" hidden="0" customWidth="1"/>
    <x:col min="6" max="6" width="62" hidden="0" customWidth="1"/>
  </x:cols>
  <x:sheetData>
    <x:row r="1" ht="34" customHeight="1">
      <x:c r="A1" s="23" t="str">
        <x:v>paper_id</x:v>
      </x:c>
      <x:c r="B1" s="24" t="str">
        <x:v>material</x:v>
      </x:c>
      <x:c r="C1" s="24" t="str">
        <x:v>tc_value</x:v>
      </x:c>
      <x:c r="D1" s="24" t="str">
        <x:v>tc_unit</x:v>
      </x:c>
      <x:c r="E1" s="24" t="str">
        <x:v>classification</x:v>
      </x:c>
      <x:c r="F1" s="25" t="str">
        <x:v>note</x:v>
      </x:c>
    </x:row>
    <x:row r="2" ht="32" customHeight="1">
      <x:c r="A2" s="9" t="n">
        <x:v>1</x:v>
      </x:c>
      <x:c r="B2" s="10" t="str">
        <x:v>BiFeO3</x:v>
      </x:c>
      <x:c r="C2" s="10" t="n">
        <x:v>1103</x:v>
      </x:c>
      <x:c r="D2" s="10" t="str">
        <x:v>K</x:v>
      </x:c>
      <x:c r="E2" s="10" t="str">
        <x:v>TP</x:v>
      </x:c>
      <x:c r="F2" s="12" t="str">
        <x:v>Matched strict Gold by paper, value and unit; material alias reviewed.</x:v>
      </x:c>
    </x:row>
    <x:row r="3" ht="32" customHeight="1">
      <x:c r="A3" s="9" t="n">
        <x:v>3</x:v>
      </x:c>
      <x:c r="B3" s="10" t="str">
        <x:v>0.8BaTiO3-0.2Ni0.5Co0.5Fe2O4</x:v>
      </x:c>
      <x:c r="C3" s="10" t="n">
        <x:v>129</x:v>
      </x:c>
      <x:c r="D3" s="10" t="str">
        <x:v>°C</x:v>
      </x:c>
      <x:c r="E3" s="10" t="str">
        <x:v>TP</x:v>
      </x:c>
      <x:c r="F3" s="12" t="str">
        <x:v>Matched strict Gold by paper, value and unit; material alias reviewed.</x:v>
      </x:c>
    </x:row>
    <x:row r="4" ht="32" customHeight="1">
      <x:c r="A4" s="9" t="n">
        <x:v>4</x:v>
      </x:c>
      <x:c r="B4" s="10" t="str">
        <x:v>0.66BaTiO3-0.33CoFe2O4 (randomly mixed)</x:v>
      </x:c>
      <x:c r="C4" s="10" t="n">
        <x:v>720</x:v>
      </x:c>
      <x:c r="D4" s="10" t="str">
        <x:v>K</x:v>
      </x:c>
      <x:c r="E4" s="10" t="str">
        <x:v>TP</x:v>
      </x:c>
      <x:c r="F4" s="12" t="str">
        <x:v>Matched strict Gold by paper, value and unit; material alias reviewed.</x:v>
      </x:c>
    </x:row>
    <x:row r="5" ht="32" customHeight="1">
      <x:c r="A5" s="9" t="n">
        <x:v>4</x:v>
      </x:c>
      <x:c r="B5" s="10" t="str">
        <x:v>0.66BaTiO3-0.33CoFe2O4 (layered)</x:v>
      </x:c>
      <x:c r="C5" s="10" t="n">
        <x:v>746</x:v>
      </x:c>
      <x:c r="D5" s="10" t="str">
        <x:v>K</x:v>
      </x:c>
      <x:c r="E5" s="10" t="str">
        <x:v>TP</x:v>
      </x:c>
      <x:c r="F5" s="12" t="str">
        <x:v>Matched strict Gold by paper, value and unit; material alias reviewed.</x:v>
      </x:c>
    </x:row>
    <x:row r="6" ht="32" customHeight="1">
      <x:c r="A6" s="9" t="n">
        <x:v>4</x:v>
      </x:c>
      <x:c r="B6" s="10" t="str">
        <x:v>CoFe2O4</x:v>
      </x:c>
      <x:c r="C6" s="10" t="n">
        <x:v>793</x:v>
      </x:c>
      <x:c r="D6" s="10" t="str">
        <x:v>K</x:v>
      </x:c>
      <x:c r="E6" s="10" t="str">
        <x:v>TP</x:v>
      </x:c>
      <x:c r="F6" s="12" t="str">
        <x:v>Matched strict Gold by paper, value and unit; material alias reviewed.</x:v>
      </x:c>
    </x:row>
    <x:row r="7" ht="32" customHeight="1">
      <x:c r="A7" s="9" t="n">
        <x:v>7</x:v>
      </x:c>
      <x:c r="B7" s="10" t="str">
        <x:v>BaTiO3</x:v>
      </x:c>
      <x:c r="C7" s="10" t="n">
        <x:v>120</x:v>
      </x:c>
      <x:c r="D7" s="10" t="str">
        <x:v>°C</x:v>
      </x:c>
      <x:c r="E7" s="10" t="str">
        <x:v>TP</x:v>
      </x:c>
      <x:c r="F7" s="12" t="str">
        <x:v>Matched strict Gold by paper, value and unit; material alias reviewed.</x:v>
      </x:c>
    </x:row>
    <x:row r="8" ht="32" customHeight="1">
      <x:c r="A8" s="9" t="n">
        <x:v>11</x:v>
      </x:c>
      <x:c r="B8" s="10" t="str">
        <x:v>BaTiO3</x:v>
      </x:c>
      <x:c r="C8" s="10" t="n">
        <x:v>120</x:v>
      </x:c>
      <x:c r="D8" s="10" t="str">
        <x:v>°C</x:v>
      </x:c>
      <x:c r="E8" s="10" t="str">
        <x:v>TP</x:v>
      </x:c>
      <x:c r="F8" s="12" t="str">
        <x:v>Matched strict Gold by paper, value and unit; material alias reviewed.</x:v>
      </x:c>
    </x:row>
    <x:row r="9" ht="32" customHeight="1">
      <x:c r="A9" s="9" t="n">
        <x:v>12</x:v>
      </x:c>
      <x:c r="B9" s="10" t="str">
        <x:v>BiFeO3</x:v>
      </x:c>
      <x:c r="C9" s="10" t="n">
        <x:v>1100</x:v>
      </x:c>
      <x:c r="D9" s="10" t="str">
        <x:v>K</x:v>
      </x:c>
      <x:c r="E9" s="10" t="str">
        <x:v>TP</x:v>
      </x:c>
      <x:c r="F9" s="12" t="str">
        <x:v>Matched strict Gold by paper, value and unit; material alias reviewed.</x:v>
      </x:c>
    </x:row>
    <x:row r="10" ht="32" customHeight="1">
      <x:c r="A10" s="9" t="n">
        <x:v>12</x:v>
      </x:c>
      <x:c r="B10" s="10" t="str">
        <x:v>(1-0.24)BiFe(1-0.01)Cr(0.01)O3-0.24BaTi(1-0.01)Mn(0.01)O3</x:v>
      </x:c>
      <x:c r="C10" s="10" t="n">
        <x:v>853.1</x:v>
      </x:c>
      <x:c r="D10" s="10" t="str">
        <x:v>K</x:v>
      </x:c>
      <x:c r="E10" s="10" t="str">
        <x:v>TP</x:v>
      </x:c>
      <x:c r="F10" s="12" t="str">
        <x:v>Matched strict Gold by paper, value and unit; material alias reviewed.</x:v>
      </x:c>
    </x:row>
    <x:row r="11" ht="32" customHeight="1">
      <x:c r="A11" s="9" t="n">
        <x:v>14</x:v>
      </x:c>
      <x:c r="B11" s="10" t="str">
        <x:v>BiFeO3</x:v>
      </x:c>
      <x:c r="C11" s="10" t="n">
        <x:v>1103</x:v>
      </x:c>
      <x:c r="D11" s="10" t="str">
        <x:v>K</x:v>
      </x:c>
      <x:c r="E11" s="10" t="str">
        <x:v>TP</x:v>
      </x:c>
      <x:c r="F11" s="12" t="str">
        <x:v>Matched strict Gold by paper, value and unit; material alias reviewed.</x:v>
      </x:c>
    </x:row>
    <x:row r="12" ht="32" customHeight="1">
      <x:c r="A12" s="9" t="n">
        <x:v>15</x:v>
      </x:c>
      <x:c r="B12" s="10" t="str">
        <x:v>0.74BiFeO3-0.26(Ba0.85Ca0.15)TiO3-0 wt.% MnO2</x:v>
      </x:c>
      <x:c r="C12" s="10" t="n">
        <x:v>732</x:v>
      </x:c>
      <x:c r="D12" s="10" t="str">
        <x:v>K</x:v>
      </x:c>
      <x:c r="E12" s="10" t="str">
        <x:v>TP</x:v>
      </x:c>
      <x:c r="F12" s="12" t="str">
        <x:v>Matched strict Gold by paper, value and unit; material alias reviewed.</x:v>
      </x:c>
    </x:row>
    <x:row r="13" ht="32" customHeight="1">
      <x:c r="A13" s="9" t="n">
        <x:v>15</x:v>
      </x:c>
      <x:c r="B13" s="10" t="str">
        <x:v>0.74BiFeO3-0.26(Ba0.85Ca0.15)TiO3-0.8 wt.% MnO2</x:v>
      </x:c>
      <x:c r="C13" s="10" t="n">
        <x:v>698</x:v>
      </x:c>
      <x:c r="D13" s="10" t="str">
        <x:v>K</x:v>
      </x:c>
      <x:c r="E13" s="10" t="str">
        <x:v>TP</x:v>
      </x:c>
      <x:c r="F13" s="12" t="str">
        <x:v>Matched strict Gold by paper, value and unit; material alias reviewed.</x:v>
      </x:c>
    </x:row>
    <x:row r="14" ht="32" customHeight="1">
      <x:c r="A14" s="9" t="n">
        <x:v>15</x:v>
      </x:c>
      <x:c r="B14" s="10" t="str">
        <x:v>0.74BiFeO3-0.26(Ba0.85Ca0.15)TiO3-1.2 wt.% MnO2</x:v>
      </x:c>
      <x:c r="C14" s="10" t="n">
        <x:v>689</x:v>
      </x:c>
      <x:c r="D14" s="10" t="str">
        <x:v>K</x:v>
      </x:c>
      <x:c r="E14" s="10" t="str">
        <x:v>TP</x:v>
      </x:c>
      <x:c r="F14" s="12" t="str">
        <x:v>Matched strict Gold by paper, value and unit; material alias reviewed.</x:v>
      </x:c>
    </x:row>
    <x:row r="15" ht="32" customHeight="1">
      <x:c r="A15" s="9" t="n">
        <x:v>15</x:v>
      </x:c>
      <x:c r="B15" s="10" t="str">
        <x:v>0.6BiFeO3-0.4Bi0.5K0.5TiO3</x:v>
      </x:c>
      <x:c r="C15" s="10" t="n">
        <x:v>703</x:v>
      </x:c>
      <x:c r="D15" s="10" t="str">
        <x:v>K</x:v>
      </x:c>
      <x:c r="E15" s="10" t="str">
        <x:v>TP</x:v>
      </x:c>
      <x:c r="F15" s="12" t="str">
        <x:v>Matched strict Gold by paper, value and unit; material alias reviewed.</x:v>
      </x:c>
    </x:row>
    <x:row r="16" ht="32" customHeight="1">
      <x:c r="A16" s="9" t="n">
        <x:v>15</x:v>
      </x:c>
      <x:c r="B16" s="10" t="str">
        <x:v>0.6BiFe0.85Co0.15O3-0.4(Bi0.5K0.5)TiO3</x:v>
      </x:c>
      <x:c r="C16" s="10" t="n">
        <x:v>690</x:v>
      </x:c>
      <x:c r="D16" s="10" t="str">
        <x:v>K</x:v>
      </x:c>
      <x:c r="E16" s="10" t="str">
        <x:v>TP</x:v>
      </x:c>
      <x:c r="F16" s="12" t="str">
        <x:v>Matched strict Gold by paper, value and unit; material alias reviewed.</x:v>
      </x:c>
    </x:row>
    <x:row r="17" ht="32" customHeight="1">
      <x:c r="A17" s="9" t="n">
        <x:v>15</x:v>
      </x:c>
      <x:c r="B17" s="10" t="str">
        <x:v>0.67Bi1.05Fe0.97Ga0.03O3-0.33BaTiO3</x:v>
      </x:c>
      <x:c r="C17" s="10" t="n">
        <x:v>727</x:v>
      </x:c>
      <x:c r="D17" s="10" t="str">
        <x:v>K</x:v>
      </x:c>
      <x:c r="E17" s="10" t="str">
        <x:v>TP</x:v>
      </x:c>
      <x:c r="F17" s="12" t="str">
        <x:v>Matched strict Gold by paper, value and unit; material alias reviewed.</x:v>
      </x:c>
    </x:row>
    <x:row r="18" ht="32" customHeight="1">
      <x:c r="A18" s="9" t="n">
        <x:v>15</x:v>
      </x:c>
      <x:c r="B18" s="10" t="str">
        <x:v>0.67BiFeO3-0.33Ba0.70Ca0.30TiO3</x:v>
      </x:c>
      <x:c r="C18" s="10" t="n">
        <x:v>634</x:v>
      </x:c>
      <x:c r="D18" s="10" t="str">
        <x:v>K</x:v>
      </x:c>
      <x:c r="E18" s="10" t="str">
        <x:v>TP</x:v>
      </x:c>
      <x:c r="F18" s="12" t="str">
        <x:v>Matched strict Gold by paper, value and unit; material alias reviewed.</x:v>
      </x:c>
    </x:row>
    <x:row r="19" ht="32" customHeight="1">
      <x:c r="A19" s="9" t="n">
        <x:v>15</x:v>
      </x:c>
      <x:c r="B19" s="10" t="str">
        <x:v>0.725BiFeO3-0.275Ba0.85Ca0.15Ti0.9Zr0.075Sn0.025O3</x:v>
      </x:c>
      <x:c r="C19" s="10" t="n">
        <x:v>673</x:v>
      </x:c>
      <x:c r="D19" s="10" t="str">
        <x:v>K</x:v>
      </x:c>
      <x:c r="E19" s="10" t="str">
        <x:v>TP</x:v>
      </x:c>
      <x:c r="F19" s="12" t="str">
        <x:v>Matched strict Gold by paper, value and unit; material alias reviewed.</x:v>
      </x:c>
    </x:row>
    <x:row r="20" ht="32" customHeight="1">
      <x:c r="A20" s="9" t="n">
        <x:v>15</x:v>
      </x:c>
      <x:c r="B20" s="10" t="str">
        <x:v>0.7Bi0.9925Ca0.0075FeO3-0.3BaTiO3+0.3 wt.% MnO2</x:v>
      </x:c>
      <x:c r="C20" s="10" t="n">
        <x:v>711</x:v>
      </x:c>
      <x:c r="D20" s="10" t="str">
        <x:v>K</x:v>
      </x:c>
      <x:c r="E20" s="10" t="str">
        <x:v>TP</x:v>
      </x:c>
      <x:c r="F20" s="12" t="str">
        <x:v>Matched strict Gold by paper, value and unit; material alias reviewed.</x:v>
      </x:c>
    </x:row>
    <x:row r="21" ht="32" customHeight="1">
      <x:c r="A21" s="9" t="n">
        <x:v>17</x:v>
      </x:c>
      <x:c r="B21" s="10" t="str">
        <x:v>BiFeO3</x:v>
      </x:c>
      <x:c r="C21" s="10" t="n">
        <x:v>1103</x:v>
      </x:c>
      <x:c r="D21" s="10" t="str">
        <x:v>K</x:v>
      </x:c>
      <x:c r="E21" s="10" t="str">
        <x:v>TP</x:v>
      </x:c>
      <x:c r="F21" s="12" t="str">
        <x:v>Matched strict Gold by paper, value and unit; material alias reviewed.</x:v>
      </x:c>
    </x:row>
    <x:row r="22" ht="32" customHeight="1">
      <x:c r="A22" s="9" t="n">
        <x:v>19</x:v>
      </x:c>
      <x:c r="B22" s="10" t="str">
        <x:v>Mn0.6Zn0.3Fe2.1O4</x:v>
      </x:c>
      <x:c r="C22" s="10" t="n">
        <x:v>518</x:v>
      </x:c>
      <x:c r="D22" s="10" t="str">
        <x:v>K</x:v>
      </x:c>
      <x:c r="E22" s="10" t="str">
        <x:v>TP</x:v>
      </x:c>
      <x:c r="F22" s="12" t="str">
        <x:v>Matched strict Gold by paper, value and unit; material alias reviewed.</x:v>
      </x:c>
    </x:row>
    <x:row r="23" ht="32" customHeight="1">
      <x:c r="A23" s="9" t="n">
        <x:v>19</x:v>
      </x:c>
      <x:c r="B23" s="10" t="str">
        <x:v>Mn0.6Zn0.3Fe2.1O4 (industrial grade, [8])</x:v>
      </x:c>
      <x:c r="C23" s="10" t="n">
        <x:v>501</x:v>
      </x:c>
      <x:c r="D23" s="10" t="str">
        <x:v>K</x:v>
      </x:c>
      <x:c r="E23" s="10" t="str">
        <x:v>TP</x:v>
      </x:c>
      <x:c r="F23" s="12" t="str">
        <x:v>Matched strict Gold by paper, value and unit; material alias reviewed.</x:v>
      </x:c>
    </x:row>
    <x:row r="24" ht="32" customHeight="1">
      <x:c r="A24" s="9" t="n">
        <x:v>19</x:v>
      </x:c>
      <x:c r="B24" s="10" t="str">
        <x:v>Bi0.9La0.1FeO3</x:v>
      </x:c>
      <x:c r="C24" s="10" t="n">
        <x:v>950</x:v>
      </x:c>
      <x:c r="D24" s="10" t="str">
        <x:v>K</x:v>
      </x:c>
      <x:c r="E24" s="10" t="str">
        <x:v>TP</x:v>
      </x:c>
      <x:c r="F24" s="12" t="str">
        <x:v>Matched strict Gold by paper, value and unit; material alias reviewed.</x:v>
      </x:c>
    </x:row>
    <x:row r="25" ht="32" customHeight="1">
      <x:c r="A25" s="9" t="n">
        <x:v>19</x:v>
      </x:c>
      <x:c r="B25" s="10" t="str">
        <x:v>80wt%Bi0.9La0.1FeO3-20wt%Mn0.6Zn0.3Fe2.1O4 composite</x:v>
      </x:c>
      <x:c r="C25" s="10" t="n">
        <x:v>518</x:v>
      </x:c>
      <x:c r="D25" s="10" t="str">
        <x:v>K</x:v>
      </x:c>
      <x:c r="E25" s="10" t="str">
        <x:v>TP</x:v>
      </x:c>
      <x:c r="F25" s="12" t="str">
        <x:v>Matched strict Gold by paper, value and unit; material alias reviewed.</x:v>
      </x:c>
    </x:row>
    <x:row r="26" ht="32" customHeight="1">
      <x:c r="A26" s="9" t="n">
        <x:v>19</x:v>
      </x:c>
      <x:c r="B26" s="10" t="str">
        <x:v>80wt%Bi0.9La0.1FeO3-20wt%Mn0.6Zn0.3Fe2.1O4 composite HPT</x:v>
      </x:c>
      <x:c r="C26" s="10" t="n">
        <x:v>367</x:v>
      </x:c>
      <x:c r="D26" s="10" t="str">
        <x:v>K</x:v>
      </x:c>
      <x:c r="E26" s="10" t="str">
        <x:v>TP</x:v>
      </x:c>
      <x:c r="F26" s="12" t="str">
        <x:v>Matched strict Gold by paper, value and unit; material alias reviewed.</x:v>
      </x:c>
    </x:row>
    <x:row r="27" ht="32" customHeight="1">
      <x:c r="A27" s="9" t="n">
        <x:v>19</x:v>
      </x:c>
      <x:c r="B27" s="10" t="str">
        <x:v>80wt%Bi0.9La0.1FeO3-20wt%Mn0.6Zn0.3Fe2.1O4 composite HPT (Tc*)</x:v>
      </x:c>
      <x:c r="C27" s="10" t="n">
        <x:v>778</x:v>
      </x:c>
      <x:c r="D27" s="10" t="str">
        <x:v>K</x:v>
      </x:c>
      <x:c r="E27" s="10" t="str">
        <x:v>TP</x:v>
      </x:c>
      <x:c r="F27" s="12" t="str">
        <x:v>Matched strict Gold by paper, value and unit; material alias reviewed.</x:v>
      </x:c>
    </x:row>
    <x:row r="28" ht="32" customHeight="1">
      <x:c r="A28" s="9" t="n">
        <x:v>19</x:v>
      </x:c>
      <x:c r="B28" s="10" t="str">
        <x:v>Mn0.6Zn0.3Fe2.1O4 (Mn0.6Zn0.3Fe2.1O4 fraction in composite HPT)</x:v>
      </x:c>
      <x:c r="C28" s="10" t="n">
        <x:v>367</x:v>
      </x:c>
      <x:c r="D28" s="10" t="str">
        <x:v>K</x:v>
      </x:c>
      <x:c r="E28" s="10" t="str">
        <x:v>DEDUPLICATED_ALIAS</x:v>
      </x:c>
      <x:c r="F28" s="12" t="str">
        <x:v>Same transition as the HPT composite 367 K record; not counted twice.</x:v>
      </x:c>
    </x:row>
    <x:row r="29" ht="32" customHeight="1">
      <x:c r="A29" s="9" t="n">
        <x:v>20</x:v>
      </x:c>
      <x:c r="B29" s="10" t="str">
        <x:v>BiFeO3</x:v>
      </x:c>
      <x:c r="C29" s="10" t="n">
        <x:v>1103</x:v>
      </x:c>
      <x:c r="D29" s="10" t="str">
        <x:v>K</x:v>
      </x:c>
      <x:c r="E29" s="10" t="str">
        <x:v>TP</x:v>
      </x:c>
      <x:c r="F29" s="12" t="str">
        <x:v>Matched strict Gold by paper, value and unit; material alias reviewed.</x:v>
      </x:c>
    </x:row>
    <x:row r="30" ht="32" customHeight="1">
      <x:c r="A30" s="9" t="n">
        <x:v>20</x:v>
      </x:c>
      <x:c r="B30" s="10" t="str">
        <x:v>CrFe2O4</x:v>
      </x:c>
      <x:c r="C30" s="10" t="n">
        <x:v>420</x:v>
      </x:c>
      <x:c r="D30" s="10" t="str">
        <x:v>K</x:v>
      </x:c>
      <x:c r="E30" s="10" t="str">
        <x:v>TP</x:v>
      </x:c>
      <x:c r="F30" s="12" t="str">
        <x:v>Matched strict Gold by paper, value and unit; material alias reviewed.</x:v>
      </x:c>
    </x:row>
    <x:row r="31" ht="32" customHeight="1">
      <x:c r="A31" s="9" t="n">
        <x:v>22</x:v>
      </x:c>
      <x:c r="B31" s="10" t="str">
        <x:v>BiFeO3</x:v>
      </x:c>
      <x:c r="C31" s="10" t="n">
        <x:v>1103</x:v>
      </x:c>
      <x:c r="D31" s="10" t="str">
        <x:v>K</x:v>
      </x:c>
      <x:c r="E31" s="10" t="str">
        <x:v>TP</x:v>
      </x:c>
      <x:c r="F31" s="12" t="str">
        <x:v>Matched strict Gold by paper, value and unit; material alias reviewed.</x:v>
      </x:c>
    </x:row>
    <x:row r="32" ht="32" customHeight="1">
      <x:c r="A32" s="9" t="n">
        <x:v>24</x:v>
      </x:c>
      <x:c r="B32" s="10" t="str">
        <x:v>BiFeO3</x:v>
      </x:c>
      <x:c r="C32" s="10" t="n">
        <x:v>1100</x:v>
      </x:c>
      <x:c r="D32" s="10" t="str">
        <x:v>K</x:v>
      </x:c>
      <x:c r="E32" s="10" t="str">
        <x:v>TP</x:v>
      </x:c>
      <x:c r="F32" s="12" t="str">
        <x:v>Matched strict Gold by paper, value and unit; material alias reviewed.</x:v>
      </x:c>
    </x:row>
    <x:row r="33" ht="32" customHeight="1">
      <x:c r="A33" s="9" t="n">
        <x:v>24</x:v>
      </x:c>
      <x:c r="B33" s="10" t="str">
        <x:v>(Bi(0.95*(1-0.23))Na(0.05*(1-0.23))Ba(0.23))(Fe(0.9*(1-0.23))Ti(0.1*(1-0.23)+0.23*(1-0.00))Mn(0.23*0.00))O3</x:v>
      </x:c>
      <x:c r="C33" s="10" t="n">
        <x:v>774</x:v>
      </x:c>
      <x:c r="D33" s="10" t="str">
        <x:v>K</x:v>
      </x:c>
      <x:c r="E33" s="10" t="str">
        <x:v>TP</x:v>
      </x:c>
      <x:c r="F33" s="12" t="str">
        <x:v>Matched strict Gold by paper, value and unit; material alias reviewed.</x:v>
      </x:c>
    </x:row>
    <x:row r="34" ht="32" customHeight="1">
      <x:c r="A34" s="9" t="n">
        <x:v>25</x:v>
      </x:c>
      <x:c r="B34" s="10" t="str">
        <x:v>BiFeO3</x:v>
      </x:c>
      <x:c r="C34" s="10" t="n">
        <x:v>1103</x:v>
      </x:c>
      <x:c r="D34" s="10" t="str">
        <x:v>K</x:v>
      </x:c>
      <x:c r="E34" s="10" t="str">
        <x:v>TP</x:v>
      </x:c>
      <x:c r="F34" s="12" t="str">
        <x:v>Matched strict Gold by paper, value and unit; material alias reviewed.</x:v>
      </x:c>
    </x:row>
    <x:row r="35" ht="32" customHeight="1">
      <x:c r="A35" s="9" t="n">
        <x:v>26</x:v>
      </x:c>
      <x:c r="B35" s="10" t="str">
        <x:v>Pb(Zr1-xTix)O3</x:v>
      </x:c>
      <x:c r="C35" s="10" t="n">
        <x:v>355</x:v>
      </x:c>
      <x:c r="D35" s="10" t="str">
        <x:v>°C</x:v>
      </x:c>
      <x:c r="E35" s="10" t="str">
        <x:v>TP</x:v>
      </x:c>
      <x:c r="F35" s="12" t="str">
        <x:v>Matched strict Gold by paper, value and unit; material alias reviewed.</x:v>
      </x:c>
    </x:row>
    <x:row r="36" ht="32" customHeight="1">
      <x:c r="A36" s="9" t="n">
        <x:v>27</x:v>
      </x:c>
      <x:c r="B36" s="10" t="str">
        <x:v>BiFeO3</x:v>
      </x:c>
      <x:c r="C36" s="10" t="n">
        <x:v>1103</x:v>
      </x:c>
      <x:c r="D36" s="10" t="str">
        <x:v>K</x:v>
      </x:c>
      <x:c r="E36" s="10" t="str">
        <x:v>TP</x:v>
      </x:c>
      <x:c r="F36" s="12" t="str">
        <x:v>Matched strict Gold by paper, value and unit; material alias reviewed.</x:v>
      </x:c>
    </x:row>
    <x:row r="37" ht="32" customHeight="1">
      <x:c r="A37" s="9" t="n">
        <x:v>27</x:v>
      </x:c>
      <x:c r="B37" s="10" t="str">
        <x:v>(Bi(0.825-(0.175*0.4))K(0.175-(0.175*0.4))Ba(0.35*0.4))(Fe0.65Ti0.35)O3</x:v>
      </x:c>
      <x:c r="C37" s="10" t="n">
        <x:v>742.6</x:v>
      </x:c>
      <x:c r="D37" s="10" t="str">
        <x:v>K</x:v>
      </x:c>
      <x:c r="E37" s="10" t="str">
        <x:v>TP</x:v>
      </x:c>
      <x:c r="F37" s="12" t="str">
        <x:v>Matched strict Gold by paper, value and unit; material alias reviewed.</x:v>
      </x:c>
    </x:row>
    <x:row r="38" ht="32" customHeight="1">
      <x:c r="A38" s="9" t="n">
        <x:v>28</x:v>
      </x:c>
      <x:c r="B38" s="10" t="str">
        <x:v>0.58BiFeO3-0.42Bi0.5K0.5TiO3</x:v>
      </x:c>
      <x:c r="C38" s="10" t="n">
        <x:v>671.5</x:v>
      </x:c>
      <x:c r="D38" s="10" t="str">
        <x:v>K</x:v>
      </x:c>
      <x:c r="E38" s="10" t="str">
        <x:v>TP</x:v>
      </x:c>
      <x:c r="F38" s="12" t="str">
        <x:v>Matched strict Gold by paper, value and unit; material alias reviewed.</x:v>
      </x:c>
    </x:row>
    <x:row r="39" ht="32" customHeight="1">
      <x:c r="A39" s="9" t="n">
        <x:v>28</x:v>
      </x:c>
      <x:c r="B39" s="10" t="str">
        <x:v>BiFeO3</x:v>
      </x:c>
      <x:c r="C39" s="10" t="n">
        <x:v>1100</x:v>
      </x:c>
      <x:c r="D39" s="10" t="str">
        <x:v>K</x:v>
      </x:c>
      <x:c r="E39" s="10" t="str">
        <x:v>TP</x:v>
      </x:c>
      <x:c r="F39" s="12" t="str">
        <x:v>Matched strict Gold by paper, value and unit; material alias reviewed.</x:v>
      </x:c>
    </x:row>
    <x:row r="40" ht="32" customHeight="1">
      <x:c r="A40" s="9" t="n">
        <x:v>29</x:v>
      </x:c>
      <x:c r="B40" s="10" t="str">
        <x:v>(1-0.27)BiFe(1-0.03)Cr(0.03)O3-0.27BaTi(1-0.03)Mn(0.03)O3</x:v>
      </x:c>
      <x:c r="C40" s="10" t="n">
        <x:v>795.2</x:v>
      </x:c>
      <x:c r="D40" s="10" t="str">
        <x:v>K</x:v>
      </x:c>
      <x:c r="E40" s="10" t="str">
        <x:v>TP</x:v>
      </x:c>
      <x:c r="F40" s="12" t="str">
        <x:v>Matched strict Gold by paper, value and unit; material alias reviewed.</x:v>
      </x:c>
    </x:row>
    <x:row r="41" ht="32" customHeight="1">
      <x:c r="A41" s="9" t="n">
        <x:v>29</x:v>
      </x:c>
      <x:c r="B41" s="10" t="str">
        <x:v>BiFeO3</x:v>
      </x:c>
      <x:c r="C41" s="10" t="n">
        <x:v>1100</x:v>
      </x:c>
      <x:c r="D41" s="10" t="str">
        <x:v>K</x:v>
      </x:c>
      <x:c r="E41" s="10" t="str">
        <x:v>TP</x:v>
      </x:c>
      <x:c r="F41" s="12" t="str">
        <x:v>Matched strict Gold by paper, value and unit; material alias reviewed.</x:v>
      </x:c>
    </x:row>
    <x:row r="42" ht="32" customHeight="1">
      <x:c r="A42" s="9" t="n">
        <x:v>30</x:v>
      </x:c>
      <x:c r="B42" s="10" t="str">
        <x:v>BiFeO3</x:v>
      </x:c>
      <x:c r="C42" s="10" t="n">
        <x:v>830</x:v>
      </x:c>
      <x:c r="D42" s="10" t="str">
        <x:v>°C</x:v>
      </x:c>
      <x:c r="E42" s="10" t="str">
        <x:v>TP</x:v>
      </x:c>
      <x:c r="F42" s="12" t="str">
        <x:v>Matched strict Gold by paper, value and unit; material alias reviewed.</x:v>
      </x:c>
    </x:row>
    <x:row r="43" ht="32" customHeight="1">
      <x:c r="A43" s="13" t="n">
        <x:v>30</x:v>
      </x:c>
      <x:c r="B43" s="14" t="str">
        <x:v>BiFeO3-BaTiO3</x:v>
      </x:c>
      <x:c r="C43" s="14" t="n">
        <x:v>580</x:v>
      </x:c>
      <x:c r="D43" s="14" t="str">
        <x:v>°C</x:v>
      </x:c>
      <x:c r="E43" s="14" t="str">
        <x:v>EXCLUDED_NON_STRICT_RANGE</x:v>
      </x:c>
      <x:c r="F43" s="16" t="str">
        <x:v>Source states over approximately 580 °C, not an exact scalar.</x:v>
      </x:c>
    </x:row>
  </x:sheetData>
  <x:pageMargins left="0.7" right="0.7" top="0.75" bottom="0.75" header="0.3" footer="0.3"/>
</x:worksheet>
</file>